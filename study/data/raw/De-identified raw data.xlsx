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60"/>
  </bookViews>
  <sheets>
    <sheet name="Trial Data" sheetId="1" r:id="rId1"/>
    <sheet name="Question Guide" sheetId="2" r:id="rId2"/>
    <sheet name="Participant Set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<sst xmlns="http://schemas.openxmlformats.org/spreadsheetml/2006/main" count="200" uniqueCount="85">
  <si>
    <t>Participant ID</t>
  </si>
  <si>
    <t>Gender</t>
  </si>
  <si>
    <t>robot experience</t>
  </si>
  <si>
    <t>Greeting #</t>
  </si>
  <si>
    <t>Condition</t>
  </si>
  <si>
    <t>Order</t>
  </si>
  <si>
    <t>Date</t>
  </si>
  <si>
    <t>Warm</t>
  </si>
  <si>
    <t>Likeable</t>
  </si>
  <si>
    <t>Trustworthy</t>
  </si>
  <si>
    <t>Friendly</t>
  </si>
  <si>
    <t>Alive</t>
  </si>
  <si>
    <t>Natural</t>
  </si>
  <si>
    <t>Real</t>
  </si>
  <si>
    <t>Human-like</t>
  </si>
  <si>
    <t>Self-reliant</t>
  </si>
  <si>
    <t>Rational</t>
  </si>
  <si>
    <t>Intentional</t>
  </si>
  <si>
    <t>Intelligent</t>
  </si>
  <si>
    <t>Creepy</t>
  </si>
  <si>
    <t>Scary</t>
  </si>
  <si>
    <t>Uncanny</t>
  </si>
  <si>
    <t>Weird</t>
  </si>
  <si>
    <t>Valence</t>
  </si>
  <si>
    <t>Arousal</t>
  </si>
  <si>
    <t>Open-ended response</t>
  </si>
  <si>
    <t>Movement size</t>
  </si>
  <si>
    <t>Completion</t>
  </si>
  <si>
    <t>Failure / interruption reason</t>
  </si>
  <si>
    <t>Notes / deviations</t>
  </si>
  <si>
    <t>Sociability Avg</t>
  </si>
  <si>
    <t>Animacy Avg</t>
  </si>
  <si>
    <t>Agency Avg</t>
  </si>
  <si>
    <t>Disturbance Avg</t>
  </si>
  <si>
    <t>P01</t>
  </si>
  <si>
    <t>male</t>
  </si>
  <si>
    <t>A</t>
  </si>
  <si>
    <t>AB</t>
  </si>
  <si>
    <t>The tone was very flat, and the speaking pace and transitions between words were smooth and slow. It did not feel very enthusiastic.</t>
  </si>
  <si>
    <t>B</t>
  </si>
  <si>
    <t/>
  </si>
  <si>
    <t>The tone was slightly more upbeat.</t>
  </si>
  <si>
    <t>P02</t>
  </si>
  <si>
    <t>BA</t>
  </si>
  <si>
    <t>It felt robotic, cold, and mechanical.</t>
  </si>
  <si>
    <t>It did not feel very different from the previous one.</t>
  </si>
  <si>
    <t>P03</t>
  </si>
  <si>
    <t>female</t>
  </si>
  <si>
    <t>It should interact with me more. The tone sounded quite robotic.</t>
  </si>
  <si>
    <t>It felt more interactive, and the speaking pace seemed a little faster, although I’m not sure if that was just my own perception.</t>
  </si>
  <si>
    <t>P04</t>
  </si>
  <si>
    <t>I didn’t have any particular impression.</t>
  </si>
  <si>
    <t>Section</t>
  </si>
  <si>
    <t>Item / Prompt</t>
  </si>
  <si>
    <t>Scale / Recording</t>
  </si>
  <si>
    <t>HRIES score</t>
  </si>
  <si>
    <t>Label</t>
  </si>
  <si>
    <t>HRIES</t>
  </si>
  <si>
    <t>1–7</t>
  </si>
  <si>
    <t>Completely NOT capable</t>
  </si>
  <si>
    <t>Moderately NOT capable</t>
  </si>
  <si>
    <t>Slightly NOT capable</t>
  </si>
  <si>
    <t>Undecided</t>
  </si>
  <si>
    <t>Slightly capable</t>
  </si>
  <si>
    <t>Moderately capable</t>
  </si>
  <si>
    <t>Completely capable</t>
  </si>
  <si>
    <t>How positive or negative did Reachy Mini’s apparent emotional state seem?</t>
  </si>
  <si>
    <t>1 = very negative; 4 = neutral; 7 = very positive</t>
  </si>
  <si>
    <t>How emotionally activated did Reachy Mini seem?</t>
  </si>
  <si>
    <t>1 = very low activation/sleepy; 4 = moderate; 7 = very high activation/aroused</t>
  </si>
  <si>
    <t>Open-ended</t>
  </si>
  <si>
    <t>How would you describe Reachy Mini during this greeting, and what influenced your impression?</t>
  </si>
  <si>
    <t>Record verbatim</t>
  </si>
  <si>
    <t>Manipulation check</t>
  </si>
  <si>
    <t>How large were the antenna movements during this greeting?</t>
  </si>
  <si>
    <t>1 = very small; 7 = very large; administer last</t>
  </si>
  <si>
    <t>Objective measure</t>
  </si>
  <si>
    <t>Greeting completion</t>
  </si>
  <si>
    <t>1 = completed; 0 = interrupted/failed; record reason</t>
  </si>
  <si>
    <t>Planned Order</t>
  </si>
  <si>
    <t>Age band</t>
  </si>
  <si>
    <t>Physical robot experience</t>
  </si>
  <si>
    <t>Reachy Mini experience</t>
  </si>
  <si>
    <t>Session notes</t>
  </si>
  <si>
    <t>18–24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</si>
</sst>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 applyAlignment="1"/>
    <xf numFmtId="0" fontId="1" fillId="2" borderId="0" xfId="49" applyFont="1" applyFill="1" applyAlignment="1">
      <alignment horizontal="center" wrapText="1"/>
    </xf>
    <xf numFmtId="0" fontId="0" fillId="0" borderId="0" xfId="49" applyAlignment="1">
      <alignment wrapText="1"/>
    </xf>
    <xf numFmtId="0" fontId="1" fillId="2" borderId="0" xfId="49" applyFont="1" applyFill="1" applyAlignment="1">
      <alignment horizontal="center" vertical="center" wrapText="1"/>
    </xf>
    <xf numFmtId="0" fontId="1" fillId="3" borderId="0" xfId="49" applyFont="1" applyFill="1" applyAlignment="1">
      <alignment wrapText="1"/>
    </xf>
    <xf numFmtId="0" fontId="0" fillId="0" borderId="0" xfId="49" applyAlignment="1">
      <alignment vertical="top"/>
    </xf>
    <xf numFmtId="0" fontId="0" fillId="0" borderId="0" xfId="49" applyAlignment="1">
      <alignment vertical="top" wrapText="1"/>
    </xf>
    <xf numFmtId="2" fontId="0" fillId="0" borderId="0" xfId="49" applyNumberFormat="1" applyAlignment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0"/>
  <sheetViews>
    <sheetView tabSelected="1" zoomScale="94" zoomScaleNormal="94" topLeftCell="R1" workbookViewId="0">
      <selection activeCell="Z13" sqref="Z13"/>
    </sheetView>
  </sheetViews>
  <sheetFormatPr defaultColWidth="9" defaultRowHeight="16.8"/>
  <cols>
    <col min="1" max="7" width="13" customWidth="1"/>
    <col min="8" max="25" width="12" customWidth="1"/>
    <col min="26" max="26" width="34.8014705882353" customWidth="1"/>
    <col min="27" max="27" width="14" customWidth="1"/>
    <col min="28" max="28" width="12" customWidth="1"/>
    <col min="29" max="30" width="26" customWidth="1"/>
    <col min="31" max="34" width="16" customWidth="1"/>
  </cols>
  <sheetData>
    <row r="1" ht="34" spans="1:3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ht="68" spans="1:34">
      <c r="A2" s="5" t="s">
        <v>34</v>
      </c>
      <c r="B2" s="5" t="s">
        <v>35</v>
      </c>
      <c r="C2" s="5">
        <v>0</v>
      </c>
      <c r="D2" s="5">
        <v>1</v>
      </c>
      <c r="E2" s="5" t="s">
        <v>36</v>
      </c>
      <c r="F2" s="5" t="s">
        <v>37</v>
      </c>
      <c r="G2" s="5"/>
      <c r="H2" s="5">
        <v>5</v>
      </c>
      <c r="I2" s="5">
        <v>4</v>
      </c>
      <c r="J2" s="5">
        <v>7</v>
      </c>
      <c r="K2" s="5">
        <v>6</v>
      </c>
      <c r="L2" s="5">
        <v>6</v>
      </c>
      <c r="M2" s="5">
        <v>6</v>
      </c>
      <c r="N2" s="5">
        <v>5</v>
      </c>
      <c r="O2" s="5">
        <v>4</v>
      </c>
      <c r="P2" s="5">
        <v>5</v>
      </c>
      <c r="Q2" s="5">
        <v>5</v>
      </c>
      <c r="R2" s="5">
        <v>4</v>
      </c>
      <c r="S2" s="5">
        <v>5</v>
      </c>
      <c r="T2" s="5">
        <v>2</v>
      </c>
      <c r="U2" s="5">
        <v>1</v>
      </c>
      <c r="V2" s="5">
        <v>1</v>
      </c>
      <c r="W2" s="5">
        <v>1</v>
      </c>
      <c r="X2" s="5">
        <v>5</v>
      </c>
      <c r="Y2" s="5">
        <v>4</v>
      </c>
      <c r="Z2" s="6" t="s">
        <v>38</v>
      </c>
      <c r="AA2" s="5">
        <v>3</v>
      </c>
      <c r="AB2" s="5">
        <v>1</v>
      </c>
      <c r="AC2" s="6"/>
      <c r="AD2" s="6"/>
      <c r="AE2" s="7">
        <f>IF(COUNT(H2:K2)=4,AVERAGE(H2:K2),"")</f>
        <v>5.5</v>
      </c>
      <c r="AF2" s="7">
        <f t="shared" ref="AF2:AF9" si="0">IF(COUNT(L2:O2)=4,AVERAGE(L2:O2),"")</f>
        <v>5.25</v>
      </c>
      <c r="AG2" s="7">
        <f t="shared" ref="AG2:AG9" si="1">IF(COUNT(P2:S2)=4,AVERAGE(P2:S2),"")</f>
        <v>4.75</v>
      </c>
      <c r="AH2" s="7">
        <f t="shared" ref="AH2:AH9" si="2">IF(COUNT(T2:W2)=4,AVERAGE(T2:W2),"")</f>
        <v>1.25</v>
      </c>
    </row>
    <row r="3" ht="17" spans="1:34">
      <c r="A3" s="5" t="s">
        <v>34</v>
      </c>
      <c r="B3" s="5" t="s">
        <v>35</v>
      </c>
      <c r="C3" s="5">
        <v>0</v>
      </c>
      <c r="D3" s="5">
        <v>2</v>
      </c>
      <c r="E3" s="5" t="s">
        <v>39</v>
      </c>
      <c r="F3" s="5" t="s">
        <v>37</v>
      </c>
      <c r="G3" s="5" t="s">
        <v>40</v>
      </c>
      <c r="H3" s="5">
        <v>6</v>
      </c>
      <c r="I3" s="5">
        <v>5</v>
      </c>
      <c r="J3" s="5">
        <v>7</v>
      </c>
      <c r="K3" s="5">
        <v>6</v>
      </c>
      <c r="L3" s="5">
        <v>6</v>
      </c>
      <c r="M3" s="5">
        <v>6</v>
      </c>
      <c r="N3" s="5">
        <v>6</v>
      </c>
      <c r="O3" s="5">
        <v>4</v>
      </c>
      <c r="P3" s="5">
        <v>5</v>
      </c>
      <c r="Q3" s="5">
        <v>5</v>
      </c>
      <c r="R3" s="5">
        <v>4</v>
      </c>
      <c r="S3" s="5">
        <v>4</v>
      </c>
      <c r="T3" s="5">
        <v>2</v>
      </c>
      <c r="U3" s="5">
        <v>1</v>
      </c>
      <c r="V3" s="5">
        <v>1</v>
      </c>
      <c r="W3" s="5">
        <v>1</v>
      </c>
      <c r="X3" s="5">
        <v>5</v>
      </c>
      <c r="Y3" s="5">
        <v>5</v>
      </c>
      <c r="Z3" s="6" t="s">
        <v>41</v>
      </c>
      <c r="AA3" s="5">
        <v>3</v>
      </c>
      <c r="AB3" s="5">
        <v>1</v>
      </c>
      <c r="AC3" s="6" t="s">
        <v>40</v>
      </c>
      <c r="AD3" s="6" t="s">
        <v>40</v>
      </c>
      <c r="AE3" s="7">
        <f>IF(COUNT(H3:K3)=4,AVERAGE(H3:K3),"")</f>
        <v>6</v>
      </c>
      <c r="AF3" s="7">
        <f t="shared" si="0"/>
        <v>5.5</v>
      </c>
      <c r="AG3" s="7">
        <f t="shared" si="1"/>
        <v>4.5</v>
      </c>
      <c r="AH3" s="7">
        <f t="shared" si="2"/>
        <v>1.25</v>
      </c>
    </row>
    <row r="4" ht="17" spans="1:34">
      <c r="A4" s="5" t="s">
        <v>42</v>
      </c>
      <c r="B4" s="5" t="s">
        <v>35</v>
      </c>
      <c r="C4" s="5">
        <v>0</v>
      </c>
      <c r="D4" s="5">
        <v>1</v>
      </c>
      <c r="E4" s="5" t="s">
        <v>39</v>
      </c>
      <c r="F4" s="5" t="s">
        <v>43</v>
      </c>
      <c r="G4" s="5" t="s">
        <v>40</v>
      </c>
      <c r="H4" s="5">
        <v>3</v>
      </c>
      <c r="I4" s="5">
        <v>3</v>
      </c>
      <c r="J4" s="5">
        <v>3</v>
      </c>
      <c r="K4" s="5">
        <v>1</v>
      </c>
      <c r="L4" s="5">
        <v>3</v>
      </c>
      <c r="M4" s="5">
        <v>1</v>
      </c>
      <c r="N4" s="5">
        <v>3</v>
      </c>
      <c r="O4" s="5">
        <v>3</v>
      </c>
      <c r="P4" s="5">
        <v>4</v>
      </c>
      <c r="Q4" s="5">
        <v>6</v>
      </c>
      <c r="R4" s="5">
        <v>5</v>
      </c>
      <c r="S4" s="5">
        <v>4</v>
      </c>
      <c r="T4" s="5">
        <v>6</v>
      </c>
      <c r="U4" s="5">
        <v>7</v>
      </c>
      <c r="V4" s="5">
        <v>7</v>
      </c>
      <c r="W4" s="5">
        <v>7</v>
      </c>
      <c r="X4" s="5">
        <v>5</v>
      </c>
      <c r="Y4" s="5">
        <v>4</v>
      </c>
      <c r="Z4" s="6" t="s">
        <v>44</v>
      </c>
      <c r="AA4" s="5">
        <v>2</v>
      </c>
      <c r="AB4" s="5">
        <v>1</v>
      </c>
      <c r="AC4" s="6" t="s">
        <v>40</v>
      </c>
      <c r="AD4" s="6" t="s">
        <v>40</v>
      </c>
      <c r="AE4" s="7">
        <f t="shared" ref="AE4:AE9" si="3">IF(COUNT(H4:K4)=4,AVERAGE(H4:K4),"")</f>
        <v>2.5</v>
      </c>
      <c r="AF4" s="7">
        <f t="shared" si="0"/>
        <v>2.5</v>
      </c>
      <c r="AG4" s="7">
        <f t="shared" si="1"/>
        <v>4.75</v>
      </c>
      <c r="AH4" s="7">
        <f t="shared" si="2"/>
        <v>6.75</v>
      </c>
    </row>
    <row r="5" ht="34" spans="1:34">
      <c r="A5" s="5" t="s">
        <v>42</v>
      </c>
      <c r="B5" s="5" t="s">
        <v>35</v>
      </c>
      <c r="C5" s="5">
        <v>0</v>
      </c>
      <c r="D5" s="5">
        <v>2</v>
      </c>
      <c r="E5" s="5" t="s">
        <v>36</v>
      </c>
      <c r="F5" s="5" t="s">
        <v>43</v>
      </c>
      <c r="G5" s="5" t="s">
        <v>40</v>
      </c>
      <c r="H5" s="5">
        <v>2</v>
      </c>
      <c r="I5" s="5">
        <v>2</v>
      </c>
      <c r="J5" s="5">
        <v>2</v>
      </c>
      <c r="K5" s="5">
        <v>1</v>
      </c>
      <c r="L5" s="5">
        <v>3</v>
      </c>
      <c r="M5" s="5">
        <v>1</v>
      </c>
      <c r="N5" s="5">
        <v>3</v>
      </c>
      <c r="O5" s="5">
        <v>3</v>
      </c>
      <c r="P5" s="5">
        <v>4</v>
      </c>
      <c r="Q5" s="5">
        <v>6</v>
      </c>
      <c r="R5" s="5">
        <v>5</v>
      </c>
      <c r="S5" s="5">
        <v>4</v>
      </c>
      <c r="T5" s="5">
        <v>6</v>
      </c>
      <c r="U5" s="5">
        <v>7</v>
      </c>
      <c r="V5" s="5">
        <v>7</v>
      </c>
      <c r="W5" s="5">
        <v>7</v>
      </c>
      <c r="X5" s="5">
        <v>5</v>
      </c>
      <c r="Y5" s="5">
        <v>4</v>
      </c>
      <c r="Z5" s="6" t="s">
        <v>45</v>
      </c>
      <c r="AA5" s="5">
        <v>2</v>
      </c>
      <c r="AB5" s="5">
        <v>1</v>
      </c>
      <c r="AC5" s="6" t="s">
        <v>40</v>
      </c>
      <c r="AD5" s="6" t="s">
        <v>40</v>
      </c>
      <c r="AE5" s="7">
        <f t="shared" si="3"/>
        <v>1.75</v>
      </c>
      <c r="AF5" s="7">
        <f t="shared" si="0"/>
        <v>2.5</v>
      </c>
      <c r="AG5" s="7">
        <f t="shared" si="1"/>
        <v>4.75</v>
      </c>
      <c r="AH5" s="7">
        <f t="shared" si="2"/>
        <v>6.75</v>
      </c>
    </row>
    <row r="6" ht="34" spans="1:34">
      <c r="A6" s="5" t="s">
        <v>46</v>
      </c>
      <c r="B6" s="5" t="s">
        <v>47</v>
      </c>
      <c r="C6" s="5">
        <v>1</v>
      </c>
      <c r="D6" s="5">
        <v>1</v>
      </c>
      <c r="E6" s="5" t="s">
        <v>36</v>
      </c>
      <c r="F6" s="5" t="s">
        <v>37</v>
      </c>
      <c r="G6" s="5" t="s">
        <v>40</v>
      </c>
      <c r="H6" s="5">
        <v>4</v>
      </c>
      <c r="I6" s="5">
        <v>5</v>
      </c>
      <c r="J6" s="5">
        <v>5</v>
      </c>
      <c r="K6" s="5">
        <v>7</v>
      </c>
      <c r="L6" s="5">
        <v>3</v>
      </c>
      <c r="M6" s="5">
        <v>5</v>
      </c>
      <c r="N6" s="5">
        <v>3</v>
      </c>
      <c r="O6" s="5">
        <v>5</v>
      </c>
      <c r="P6" s="5">
        <v>4</v>
      </c>
      <c r="Q6" s="5">
        <v>6</v>
      </c>
      <c r="R6" s="5">
        <v>6</v>
      </c>
      <c r="S6" s="5">
        <v>3</v>
      </c>
      <c r="T6" s="5">
        <v>1</v>
      </c>
      <c r="U6" s="5">
        <v>1</v>
      </c>
      <c r="V6" s="5">
        <v>1</v>
      </c>
      <c r="W6" s="5">
        <v>4</v>
      </c>
      <c r="X6" s="5">
        <v>7</v>
      </c>
      <c r="Y6" s="5">
        <v>3</v>
      </c>
      <c r="Z6" s="6" t="s">
        <v>48</v>
      </c>
      <c r="AA6" s="5">
        <v>3</v>
      </c>
      <c r="AB6" s="5">
        <v>1</v>
      </c>
      <c r="AC6" s="6" t="s">
        <v>40</v>
      </c>
      <c r="AD6" s="6" t="s">
        <v>40</v>
      </c>
      <c r="AE6" s="7">
        <f t="shared" si="3"/>
        <v>5.25</v>
      </c>
      <c r="AF6" s="7">
        <f t="shared" si="0"/>
        <v>4</v>
      </c>
      <c r="AG6" s="7">
        <f t="shared" si="1"/>
        <v>4.75</v>
      </c>
      <c r="AH6" s="7">
        <f t="shared" si="2"/>
        <v>1.75</v>
      </c>
    </row>
    <row r="7" ht="51" spans="1:34">
      <c r="A7" s="5" t="s">
        <v>46</v>
      </c>
      <c r="B7" s="5" t="s">
        <v>47</v>
      </c>
      <c r="C7" s="5">
        <v>1</v>
      </c>
      <c r="D7" s="5">
        <v>2</v>
      </c>
      <c r="E7" s="5" t="s">
        <v>39</v>
      </c>
      <c r="F7" s="5" t="s">
        <v>37</v>
      </c>
      <c r="G7" s="5" t="s">
        <v>40</v>
      </c>
      <c r="H7" s="5">
        <v>5</v>
      </c>
      <c r="I7" s="5">
        <v>5</v>
      </c>
      <c r="J7" s="5">
        <v>5</v>
      </c>
      <c r="K7" s="5">
        <v>6</v>
      </c>
      <c r="L7" s="5">
        <v>4</v>
      </c>
      <c r="M7" s="5">
        <v>5</v>
      </c>
      <c r="N7" s="5">
        <v>5</v>
      </c>
      <c r="O7" s="5">
        <v>4</v>
      </c>
      <c r="P7" s="5">
        <v>5</v>
      </c>
      <c r="Q7" s="5">
        <v>6</v>
      </c>
      <c r="R7" s="5">
        <v>6</v>
      </c>
      <c r="S7" s="5">
        <v>6</v>
      </c>
      <c r="T7" s="5">
        <v>1</v>
      </c>
      <c r="U7" s="5">
        <v>1</v>
      </c>
      <c r="V7" s="5">
        <v>1</v>
      </c>
      <c r="W7" s="5">
        <v>2</v>
      </c>
      <c r="X7" s="5">
        <v>7</v>
      </c>
      <c r="Y7" s="5">
        <v>5</v>
      </c>
      <c r="Z7" s="6" t="s">
        <v>49</v>
      </c>
      <c r="AA7" s="5">
        <v>5</v>
      </c>
      <c r="AB7" s="5">
        <v>1</v>
      </c>
      <c r="AC7" s="6" t="s">
        <v>40</v>
      </c>
      <c r="AD7" s="6" t="s">
        <v>40</v>
      </c>
      <c r="AE7" s="7">
        <f t="shared" si="3"/>
        <v>5.25</v>
      </c>
      <c r="AF7" s="7">
        <f t="shared" si="0"/>
        <v>4.5</v>
      </c>
      <c r="AG7" s="7">
        <f t="shared" si="1"/>
        <v>5.75</v>
      </c>
      <c r="AH7" s="7">
        <f t="shared" si="2"/>
        <v>1.25</v>
      </c>
    </row>
    <row r="8" ht="17" spans="1:34">
      <c r="A8" s="5" t="s">
        <v>50</v>
      </c>
      <c r="B8" s="5" t="s">
        <v>47</v>
      </c>
      <c r="C8" s="5">
        <v>0</v>
      </c>
      <c r="D8" s="5">
        <v>1</v>
      </c>
      <c r="E8" s="5" t="s">
        <v>39</v>
      </c>
      <c r="F8" s="5" t="s">
        <v>43</v>
      </c>
      <c r="G8" s="5" t="s">
        <v>40</v>
      </c>
      <c r="H8" s="5">
        <v>4</v>
      </c>
      <c r="I8" s="5">
        <v>2</v>
      </c>
      <c r="J8" s="5">
        <v>2</v>
      </c>
      <c r="K8" s="5">
        <v>6</v>
      </c>
      <c r="L8" s="5">
        <v>1</v>
      </c>
      <c r="M8" s="5">
        <v>3</v>
      </c>
      <c r="N8" s="5">
        <v>2</v>
      </c>
      <c r="O8" s="5">
        <v>1</v>
      </c>
      <c r="P8" s="5">
        <v>1</v>
      </c>
      <c r="Q8" s="5">
        <v>3</v>
      </c>
      <c r="R8" s="5">
        <v>1</v>
      </c>
      <c r="S8" s="5">
        <v>3</v>
      </c>
      <c r="T8" s="5">
        <v>3</v>
      </c>
      <c r="U8" s="5">
        <v>1</v>
      </c>
      <c r="V8" s="5">
        <v>1</v>
      </c>
      <c r="W8" s="5">
        <v>2</v>
      </c>
      <c r="X8" s="5">
        <v>4</v>
      </c>
      <c r="Y8" s="5">
        <v>4</v>
      </c>
      <c r="Z8" s="6" t="s">
        <v>51</v>
      </c>
      <c r="AA8" s="5">
        <v>4</v>
      </c>
      <c r="AB8" s="5">
        <v>1</v>
      </c>
      <c r="AC8" s="6" t="s">
        <v>40</v>
      </c>
      <c r="AD8" s="6" t="s">
        <v>40</v>
      </c>
      <c r="AE8" s="7">
        <f t="shared" si="3"/>
        <v>3.5</v>
      </c>
      <c r="AF8" s="7">
        <f t="shared" si="0"/>
        <v>1.75</v>
      </c>
      <c r="AG8" s="7">
        <f t="shared" si="1"/>
        <v>2</v>
      </c>
      <c r="AH8" s="7">
        <f t="shared" si="2"/>
        <v>1.75</v>
      </c>
    </row>
    <row r="9" ht="17" spans="1:34">
      <c r="A9" s="5" t="s">
        <v>50</v>
      </c>
      <c r="B9" s="5" t="s">
        <v>47</v>
      </c>
      <c r="C9" s="5">
        <v>0</v>
      </c>
      <c r="D9" s="5">
        <v>2</v>
      </c>
      <c r="E9" s="5" t="s">
        <v>36</v>
      </c>
      <c r="F9" s="5" t="s">
        <v>43</v>
      </c>
      <c r="G9" s="5" t="s">
        <v>40</v>
      </c>
      <c r="H9" s="5">
        <v>2</v>
      </c>
      <c r="I9" s="5">
        <v>2</v>
      </c>
      <c r="J9" s="5">
        <v>3</v>
      </c>
      <c r="K9" s="5">
        <v>2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3</v>
      </c>
      <c r="R9" s="5">
        <v>1</v>
      </c>
      <c r="S9" s="5">
        <v>2</v>
      </c>
      <c r="T9" s="5">
        <v>1</v>
      </c>
      <c r="U9" s="5">
        <v>1</v>
      </c>
      <c r="V9" s="5">
        <v>1</v>
      </c>
      <c r="W9" s="5">
        <v>1</v>
      </c>
      <c r="X9" s="5">
        <v>2</v>
      </c>
      <c r="Y9" s="5">
        <v>4</v>
      </c>
      <c r="Z9" s="6" t="s">
        <v>51</v>
      </c>
      <c r="AA9" s="5">
        <v>2</v>
      </c>
      <c r="AB9" s="5">
        <v>1</v>
      </c>
      <c r="AC9" s="6" t="s">
        <v>40</v>
      </c>
      <c r="AD9" s="6" t="s">
        <v>40</v>
      </c>
      <c r="AE9" s="7">
        <f t="shared" si="3"/>
        <v>2.25</v>
      </c>
      <c r="AF9" s="7">
        <f t="shared" si="0"/>
        <v>1</v>
      </c>
      <c r="AG9" s="7">
        <f t="shared" si="1"/>
        <v>1.75</v>
      </c>
      <c r="AH9" s="7">
        <f t="shared" si="2"/>
        <v>1</v>
      </c>
    </row>
    <row r="10" spans="1:3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  <c r="AA10" s="5"/>
      <c r="AB10" s="5"/>
      <c r="AC10" s="6"/>
      <c r="AD10" s="6"/>
      <c r="AE10" s="7"/>
      <c r="AF10" s="7"/>
      <c r="AG10" s="7"/>
      <c r="AH10" s="7"/>
    </row>
    <row r="11" spans="1:34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  <c r="AA11" s="5"/>
      <c r="AB11" s="5"/>
      <c r="AC11" s="6"/>
      <c r="AD11" s="6"/>
      <c r="AE11" s="7"/>
      <c r="AF11" s="7"/>
      <c r="AG11" s="7"/>
      <c r="AH11" s="7"/>
    </row>
    <row r="12" spans="1:34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AA12" s="5"/>
      <c r="AB12" s="5"/>
      <c r="AC12" s="6"/>
      <c r="AD12" s="6"/>
      <c r="AE12" s="7"/>
      <c r="AF12" s="7"/>
      <c r="AG12" s="7"/>
      <c r="AH12" s="7"/>
    </row>
    <row r="13" spans="1:34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  <c r="AA13" s="5"/>
      <c r="AB13" s="5"/>
      <c r="AC13" s="6"/>
      <c r="AD13" s="6"/>
      <c r="AE13" s="7"/>
      <c r="AF13" s="7"/>
      <c r="AG13" s="7"/>
      <c r="AH13" s="7"/>
    </row>
    <row r="14" spans="1:3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  <c r="AA14" s="5"/>
      <c r="AB14" s="5"/>
      <c r="AC14" s="6"/>
      <c r="AD14" s="6"/>
      <c r="AE14" s="7"/>
      <c r="AF14" s="7"/>
      <c r="AG14" s="7"/>
      <c r="AH14" s="7"/>
    </row>
    <row r="15" spans="1:3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  <c r="AA15" s="5"/>
      <c r="AB15" s="5"/>
      <c r="AC15" s="6"/>
      <c r="AD15" s="6"/>
      <c r="AE15" s="7"/>
      <c r="AF15" s="7"/>
      <c r="AG15" s="7"/>
      <c r="AH15" s="7"/>
    </row>
    <row r="16" spans="1:34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  <c r="AA16" s="5"/>
      <c r="AB16" s="5"/>
      <c r="AC16" s="6"/>
      <c r="AD16" s="6"/>
      <c r="AE16" s="7"/>
      <c r="AF16" s="7"/>
      <c r="AG16" s="7"/>
      <c r="AH16" s="7"/>
    </row>
    <row r="17" spans="1:3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  <c r="AA17" s="5"/>
      <c r="AB17" s="5"/>
      <c r="AC17" s="6"/>
      <c r="AD17" s="6"/>
      <c r="AE17" s="7"/>
      <c r="AF17" s="7"/>
      <c r="AG17" s="7"/>
      <c r="AH17" s="7"/>
    </row>
    <row r="18" spans="1:3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  <c r="AA18" s="5"/>
      <c r="AB18" s="5"/>
      <c r="AC18" s="6"/>
      <c r="AD18" s="6"/>
      <c r="AE18" s="7"/>
      <c r="AF18" s="7"/>
      <c r="AG18" s="7"/>
      <c r="AH18" s="7"/>
    </row>
    <row r="19" spans="1:3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  <c r="AA19" s="5"/>
      <c r="AB19" s="5"/>
      <c r="AC19" s="6"/>
      <c r="AD19" s="6"/>
      <c r="AE19" s="7"/>
      <c r="AF19" s="7"/>
      <c r="AG19" s="7"/>
      <c r="AH19" s="7"/>
    </row>
    <row r="20" spans="1:34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A20" s="5"/>
      <c r="AB20" s="5"/>
      <c r="AC20" s="6"/>
      <c r="AD20" s="6"/>
      <c r="AE20" s="7"/>
      <c r="AF20" s="7"/>
      <c r="AG20" s="7"/>
      <c r="AH20" s="7"/>
    </row>
    <row r="21" spans="1:3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  <c r="AA21" s="5"/>
      <c r="AB21" s="5"/>
      <c r="AC21" s="6"/>
      <c r="AD21" s="6"/>
      <c r="AE21" s="7"/>
      <c r="AF21" s="7"/>
      <c r="AG21" s="7"/>
      <c r="AH21" s="7"/>
    </row>
    <row r="22" spans="1:34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  <c r="AA22" s="5"/>
      <c r="AB22" s="5"/>
      <c r="AC22" s="6"/>
      <c r="AD22" s="6"/>
      <c r="AE22" s="7"/>
      <c r="AF22" s="7"/>
      <c r="AG22" s="7"/>
      <c r="AH22" s="7"/>
    </row>
    <row r="23" spans="1:3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  <c r="AA23" s="5"/>
      <c r="AB23" s="5"/>
      <c r="AC23" s="6"/>
      <c r="AD23" s="6"/>
      <c r="AE23" s="7"/>
      <c r="AF23" s="7"/>
      <c r="AG23" s="7"/>
      <c r="AH23" s="7"/>
    </row>
    <row r="24" spans="1:3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  <c r="AA24" s="5"/>
      <c r="AB24" s="5"/>
      <c r="AC24" s="6"/>
      <c r="AD24" s="6"/>
      <c r="AE24" s="7"/>
      <c r="AF24" s="7"/>
      <c r="AG24" s="7"/>
      <c r="AH24" s="7"/>
    </row>
    <row r="25" spans="1:3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  <c r="AA25" s="5"/>
      <c r="AB25" s="5"/>
      <c r="AC25" s="6"/>
      <c r="AD25" s="6"/>
      <c r="AE25" s="7"/>
      <c r="AF25" s="7"/>
      <c r="AG25" s="7"/>
      <c r="AH25" s="7"/>
    </row>
    <row r="26" spans="1:3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  <c r="AA26" s="5"/>
      <c r="AB26" s="5"/>
      <c r="AC26" s="6"/>
      <c r="AD26" s="6"/>
      <c r="AE26" s="7"/>
      <c r="AF26" s="7"/>
      <c r="AG26" s="7"/>
      <c r="AH26" s="7"/>
    </row>
    <row r="27" spans="1:34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  <c r="AA27" s="5"/>
      <c r="AB27" s="5"/>
      <c r="AC27" s="6"/>
      <c r="AD27" s="6"/>
      <c r="AE27" s="7"/>
      <c r="AF27" s="7"/>
      <c r="AG27" s="7"/>
      <c r="AH27" s="7"/>
    </row>
    <row r="28" spans="1:34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  <c r="AA28" s="5"/>
      <c r="AB28" s="5"/>
      <c r="AC28" s="6"/>
      <c r="AD28" s="6"/>
      <c r="AE28" s="7"/>
      <c r="AF28" s="7"/>
      <c r="AG28" s="7"/>
      <c r="AH28" s="7"/>
    </row>
    <row r="29" spans="1:34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  <c r="AA29" s="5"/>
      <c r="AB29" s="5"/>
      <c r="AC29" s="6"/>
      <c r="AD29" s="6"/>
      <c r="AE29" s="7"/>
      <c r="AF29" s="7"/>
      <c r="AG29" s="7"/>
      <c r="AH29" s="7"/>
    </row>
    <row r="30" spans="1:34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  <c r="AA30" s="5"/>
      <c r="AB30" s="5"/>
      <c r="AC30" s="6"/>
      <c r="AD30" s="6"/>
      <c r="AE30" s="7"/>
      <c r="AF30" s="7"/>
      <c r="AG30" s="7"/>
      <c r="AH30" s="7"/>
    </row>
    <row r="31" spans="1:3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  <c r="AA31" s="5"/>
      <c r="AB31" s="5"/>
      <c r="AC31" s="6"/>
      <c r="AD31" s="6"/>
      <c r="AE31" s="7"/>
      <c r="AF31" s="7"/>
      <c r="AG31" s="7"/>
      <c r="AH31" s="7"/>
    </row>
    <row r="32" spans="1:34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  <c r="AA32" s="5"/>
      <c r="AB32" s="5"/>
      <c r="AC32" s="6"/>
      <c r="AD32" s="6"/>
      <c r="AE32" s="7"/>
      <c r="AF32" s="7"/>
      <c r="AG32" s="7"/>
      <c r="AH32" s="7"/>
    </row>
    <row r="33" spans="1:34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  <c r="AA33" s="5"/>
      <c r="AB33" s="5"/>
      <c r="AC33" s="6"/>
      <c r="AD33" s="6"/>
      <c r="AE33" s="7"/>
      <c r="AF33" s="7"/>
      <c r="AG33" s="7"/>
      <c r="AH33" s="7"/>
    </row>
    <row r="34" spans="1: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  <c r="AA34" s="5"/>
      <c r="AB34" s="5"/>
      <c r="AC34" s="6"/>
      <c r="AD34" s="6"/>
      <c r="AE34" s="7"/>
      <c r="AF34" s="7"/>
      <c r="AG34" s="7"/>
      <c r="AH34" s="7"/>
    </row>
    <row r="35" spans="1:34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  <c r="AA35" s="5"/>
      <c r="AB35" s="5"/>
      <c r="AC35" s="6"/>
      <c r="AD35" s="6"/>
      <c r="AE35" s="7"/>
      <c r="AF35" s="7"/>
      <c r="AG35" s="7"/>
      <c r="AH35" s="7"/>
    </row>
    <row r="36" spans="1:34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  <c r="AA36" s="5"/>
      <c r="AB36" s="5"/>
      <c r="AC36" s="6"/>
      <c r="AD36" s="6"/>
      <c r="AE36" s="7"/>
      <c r="AF36" s="7"/>
      <c r="AG36" s="7"/>
      <c r="AH36" s="7"/>
    </row>
    <row r="37" spans="1:34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  <c r="AA37" s="5"/>
      <c r="AB37" s="5"/>
      <c r="AC37" s="6"/>
      <c r="AD37" s="6"/>
      <c r="AE37" s="7"/>
      <c r="AF37" s="7"/>
      <c r="AG37" s="7"/>
      <c r="AH37" s="7"/>
    </row>
    <row r="38" spans="1:34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  <c r="AA38" s="5"/>
      <c r="AB38" s="5"/>
      <c r="AC38" s="6"/>
      <c r="AD38" s="6"/>
      <c r="AE38" s="7"/>
      <c r="AF38" s="7"/>
      <c r="AG38" s="7"/>
      <c r="AH38" s="7"/>
    </row>
    <row r="39" spans="1:34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  <c r="AA39" s="5"/>
      <c r="AB39" s="5"/>
      <c r="AC39" s="6"/>
      <c r="AD39" s="6"/>
      <c r="AE39" s="7"/>
      <c r="AF39" s="7"/>
      <c r="AG39" s="7"/>
      <c r="AH39" s="7"/>
    </row>
    <row r="40" spans="1:34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  <c r="AA40" s="5"/>
      <c r="AB40" s="5"/>
      <c r="AC40" s="6"/>
      <c r="AD40" s="6"/>
      <c r="AE40" s="7"/>
      <c r="AF40" s="7"/>
      <c r="AG40" s="7"/>
      <c r="AH40" s="7"/>
    </row>
    <row r="41" spans="1:34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  <c r="AA41" s="5"/>
      <c r="AB41" s="5"/>
      <c r="AC41" s="6"/>
      <c r="AD41" s="6"/>
      <c r="AE41" s="7"/>
      <c r="AF41" s="7"/>
      <c r="AG41" s="7"/>
      <c r="AH41" s="7"/>
    </row>
    <row r="42" spans="1:34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  <c r="AA42" s="5"/>
      <c r="AB42" s="5"/>
      <c r="AC42" s="6"/>
      <c r="AD42" s="6"/>
      <c r="AE42" s="7"/>
      <c r="AF42" s="7"/>
      <c r="AG42" s="7"/>
      <c r="AH42" s="7"/>
    </row>
    <row r="43" spans="1:34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  <c r="AA43" s="5"/>
      <c r="AB43" s="5"/>
      <c r="AC43" s="6"/>
      <c r="AD43" s="6"/>
      <c r="AE43" s="7"/>
      <c r="AF43" s="7"/>
      <c r="AG43" s="7"/>
      <c r="AH43" s="7"/>
    </row>
    <row r="44" spans="1:3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  <c r="AA44" s="5"/>
      <c r="AB44" s="5"/>
      <c r="AC44" s="6"/>
      <c r="AD44" s="6"/>
      <c r="AE44" s="7"/>
      <c r="AF44" s="7"/>
      <c r="AG44" s="7"/>
      <c r="AH44" s="7"/>
    </row>
    <row r="45" spans="1:34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  <c r="AA45" s="5"/>
      <c r="AB45" s="5"/>
      <c r="AC45" s="6"/>
      <c r="AD45" s="6"/>
      <c r="AE45" s="7"/>
      <c r="AF45" s="7"/>
      <c r="AG45" s="7"/>
      <c r="AH45" s="7"/>
    </row>
    <row r="46" spans="1:3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  <c r="AA46" s="5"/>
      <c r="AB46" s="5"/>
      <c r="AC46" s="6"/>
      <c r="AD46" s="6"/>
      <c r="AE46" s="7"/>
      <c r="AF46" s="7"/>
      <c r="AG46" s="7"/>
      <c r="AH46" s="7"/>
    </row>
    <row r="47" spans="1:34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  <c r="AA47" s="5"/>
      <c r="AB47" s="5"/>
      <c r="AC47" s="6"/>
      <c r="AD47" s="6"/>
      <c r="AE47" s="7"/>
      <c r="AF47" s="7"/>
      <c r="AG47" s="7"/>
      <c r="AH47" s="7"/>
    </row>
    <row r="48" spans="1:34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  <c r="AA48" s="5"/>
      <c r="AB48" s="5"/>
      <c r="AC48" s="6"/>
      <c r="AD48" s="6"/>
      <c r="AE48" s="7"/>
      <c r="AF48" s="7"/>
      <c r="AG48" s="7"/>
      <c r="AH48" s="7"/>
    </row>
    <row r="49" spans="1:34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  <c r="AA49" s="5"/>
      <c r="AB49" s="5"/>
      <c r="AC49" s="6"/>
      <c r="AD49" s="6"/>
      <c r="AE49" s="7"/>
      <c r="AF49" s="7"/>
      <c r="AG49" s="7"/>
      <c r="AH49" s="7"/>
    </row>
    <row r="50" spans="1:34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  <c r="AA50" s="5"/>
      <c r="AB50" s="5"/>
      <c r="AC50" s="6"/>
      <c r="AD50" s="6"/>
      <c r="AE50" s="7"/>
      <c r="AF50" s="7"/>
      <c r="AG50" s="7"/>
      <c r="AH50" s="7"/>
    </row>
  </sheetData>
  <dataValidations count="5">
    <dataValidation type="list" sqref="B2:B5 B6:B9 B10:B50 C2:C50 D2:D50">
      <formula1>"1,2"</formula1>
    </dataValidation>
    <dataValidation type="list" sqref="E2:E50">
      <formula1>"A,B"</formula1>
    </dataValidation>
    <dataValidation type="list" sqref="F2:F50">
      <formula1>"AB,BA"</formula1>
    </dataValidation>
    <dataValidation type="list" sqref="AA2:AA50 H2:Y50">
      <formula1>"1,2,3,4,5,6,7"</formula1>
    </dataValidation>
    <dataValidation type="list" sqref="AB2:AB50">
      <formula1>"0,1"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A1" sqref="A1"/>
    </sheetView>
  </sheetViews>
  <sheetFormatPr defaultColWidth="9" defaultRowHeight="16.8" outlineLevelCol="5"/>
  <cols>
    <col min="1" max="1" width="20" customWidth="1"/>
    <col min="2" max="2" width="62" customWidth="1"/>
    <col min="3" max="3" width="48" customWidth="1"/>
    <col min="5" max="6" width="27" customWidth="1"/>
  </cols>
  <sheetData>
    <row r="1" ht="17" spans="1:6">
      <c r="A1" s="3" t="s">
        <v>52</v>
      </c>
      <c r="B1" s="3" t="s">
        <v>53</v>
      </c>
      <c r="C1" s="3" t="s">
        <v>54</v>
      </c>
      <c r="E1" s="4" t="s">
        <v>55</v>
      </c>
      <c r="F1" s="4" t="s">
        <v>56</v>
      </c>
    </row>
    <row r="2" ht="17" spans="1:6">
      <c r="A2" s="2" t="s">
        <v>57</v>
      </c>
      <c r="B2" s="2" t="s">
        <v>7</v>
      </c>
      <c r="C2" s="2" t="s">
        <v>58</v>
      </c>
      <c r="E2" s="2">
        <v>1</v>
      </c>
      <c r="F2" s="2" t="s">
        <v>59</v>
      </c>
    </row>
    <row r="3" ht="17" spans="1:6">
      <c r="A3" s="2" t="s">
        <v>57</v>
      </c>
      <c r="B3" s="2" t="s">
        <v>8</v>
      </c>
      <c r="C3" s="2" t="s">
        <v>58</v>
      </c>
      <c r="E3" s="2">
        <v>2</v>
      </c>
      <c r="F3" s="2" t="s">
        <v>60</v>
      </c>
    </row>
    <row r="4" ht="17" spans="1:6">
      <c r="A4" s="2" t="s">
        <v>57</v>
      </c>
      <c r="B4" s="2" t="s">
        <v>9</v>
      </c>
      <c r="C4" s="2" t="s">
        <v>58</v>
      </c>
      <c r="E4" s="2">
        <v>3</v>
      </c>
      <c r="F4" s="2" t="s">
        <v>61</v>
      </c>
    </row>
    <row r="5" ht="17" spans="1:6">
      <c r="A5" s="2" t="s">
        <v>57</v>
      </c>
      <c r="B5" s="2" t="s">
        <v>10</v>
      </c>
      <c r="C5" s="2" t="s">
        <v>58</v>
      </c>
      <c r="E5" s="2">
        <v>4</v>
      </c>
      <c r="F5" s="2" t="s">
        <v>62</v>
      </c>
    </row>
    <row r="6" ht="17" spans="1:6">
      <c r="A6" s="2" t="s">
        <v>57</v>
      </c>
      <c r="B6" s="2" t="s">
        <v>11</v>
      </c>
      <c r="C6" s="2" t="s">
        <v>58</v>
      </c>
      <c r="E6" s="2">
        <v>5</v>
      </c>
      <c r="F6" s="2" t="s">
        <v>63</v>
      </c>
    </row>
    <row r="7" ht="17" spans="1:6">
      <c r="A7" s="2" t="s">
        <v>57</v>
      </c>
      <c r="B7" s="2" t="s">
        <v>12</v>
      </c>
      <c r="C7" s="2" t="s">
        <v>58</v>
      </c>
      <c r="E7" s="2">
        <v>6</v>
      </c>
      <c r="F7" s="2" t="s">
        <v>64</v>
      </c>
    </row>
    <row r="8" ht="17" spans="1:6">
      <c r="A8" s="2" t="s">
        <v>57</v>
      </c>
      <c r="B8" s="2" t="s">
        <v>13</v>
      </c>
      <c r="C8" s="2" t="s">
        <v>58</v>
      </c>
      <c r="E8" s="2">
        <v>7</v>
      </c>
      <c r="F8" s="2" t="s">
        <v>65</v>
      </c>
    </row>
    <row r="9" ht="17" spans="1:3">
      <c r="A9" s="2" t="s">
        <v>57</v>
      </c>
      <c r="B9" s="2" t="s">
        <v>14</v>
      </c>
      <c r="C9" s="2" t="s">
        <v>58</v>
      </c>
    </row>
    <row r="10" ht="17" spans="1:3">
      <c r="A10" s="2" t="s">
        <v>57</v>
      </c>
      <c r="B10" s="2" t="s">
        <v>15</v>
      </c>
      <c r="C10" s="2" t="s">
        <v>58</v>
      </c>
    </row>
    <row r="11" ht="17" spans="1:3">
      <c r="A11" s="2" t="s">
        <v>57</v>
      </c>
      <c r="B11" s="2" t="s">
        <v>16</v>
      </c>
      <c r="C11" s="2" t="s">
        <v>58</v>
      </c>
    </row>
    <row r="12" ht="17" spans="1:3">
      <c r="A12" s="2" t="s">
        <v>57</v>
      </c>
      <c r="B12" s="2" t="s">
        <v>17</v>
      </c>
      <c r="C12" s="2" t="s">
        <v>58</v>
      </c>
    </row>
    <row r="13" ht="17" spans="1:3">
      <c r="A13" s="2" t="s">
        <v>57</v>
      </c>
      <c r="B13" s="2" t="s">
        <v>18</v>
      </c>
      <c r="C13" s="2" t="s">
        <v>58</v>
      </c>
    </row>
    <row r="14" ht="17" spans="1:3">
      <c r="A14" s="2" t="s">
        <v>57</v>
      </c>
      <c r="B14" s="2" t="s">
        <v>19</v>
      </c>
      <c r="C14" s="2" t="s">
        <v>58</v>
      </c>
    </row>
    <row r="15" ht="17" spans="1:3">
      <c r="A15" s="2" t="s">
        <v>57</v>
      </c>
      <c r="B15" s="2" t="s">
        <v>20</v>
      </c>
      <c r="C15" s="2" t="s">
        <v>58</v>
      </c>
    </row>
    <row r="16" ht="17" spans="1:3">
      <c r="A16" s="2" t="s">
        <v>57</v>
      </c>
      <c r="B16" s="2" t="s">
        <v>21</v>
      </c>
      <c r="C16" s="2" t="s">
        <v>58</v>
      </c>
    </row>
    <row r="17" ht="17" spans="1:3">
      <c r="A17" s="2" t="s">
        <v>57</v>
      </c>
      <c r="B17" s="2" t="s">
        <v>22</v>
      </c>
      <c r="C17" s="2" t="s">
        <v>58</v>
      </c>
    </row>
    <row r="18" ht="17" spans="1:3">
      <c r="A18" s="2" t="s">
        <v>23</v>
      </c>
      <c r="B18" s="2" t="s">
        <v>66</v>
      </c>
      <c r="C18" s="2" t="s">
        <v>67</v>
      </c>
    </row>
    <row r="19" ht="34" spans="1:3">
      <c r="A19" s="2" t="s">
        <v>24</v>
      </c>
      <c r="B19" s="2" t="s">
        <v>68</v>
      </c>
      <c r="C19" s="2" t="s">
        <v>69</v>
      </c>
    </row>
    <row r="20" ht="34" spans="1:3">
      <c r="A20" s="2" t="s">
        <v>70</v>
      </c>
      <c r="B20" s="2" t="s">
        <v>71</v>
      </c>
      <c r="C20" s="2" t="s">
        <v>72</v>
      </c>
    </row>
    <row r="21" ht="17" spans="1:3">
      <c r="A21" s="2" t="s">
        <v>73</v>
      </c>
      <c r="B21" s="2" t="s">
        <v>74</v>
      </c>
      <c r="C21" s="2" t="s">
        <v>75</v>
      </c>
    </row>
    <row r="22" ht="17" spans="1:3">
      <c r="A22" s="2" t="s">
        <v>76</v>
      </c>
      <c r="B22" s="2" t="s">
        <v>77</v>
      </c>
      <c r="C22" s="2" t="s">
        <v>78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1" sqref="A1"/>
    </sheetView>
  </sheetViews>
  <sheetFormatPr defaultColWidth="9" defaultRowHeight="16.8" outlineLevelCol="5"/>
  <cols>
    <col min="1" max="5" width="23" customWidth="1"/>
    <col min="6" max="6" width="38" customWidth="1"/>
  </cols>
  <sheetData>
    <row r="1" ht="17" spans="1:6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</row>
    <row r="2" ht="17" spans="1:6">
      <c r="A2" s="2" t="s">
        <v>34</v>
      </c>
      <c r="B2" s="2" t="s">
        <v>37</v>
      </c>
      <c r="C2" s="2" t="s">
        <v>84</v>
      </c>
      <c r="D2" s="2" t="s">
        <v>40</v>
      </c>
      <c r="E2" s="2" t="s">
        <v>40</v>
      </c>
      <c r="F2" s="2" t="s">
        <v>40</v>
      </c>
    </row>
    <row r="3" ht="17" spans="1:6">
      <c r="A3" s="2" t="s">
        <v>42</v>
      </c>
      <c r="B3" s="2" t="s">
        <v>43</v>
      </c>
      <c r="C3" s="2" t="s">
        <v>84</v>
      </c>
      <c r="D3" s="2" t="s">
        <v>40</v>
      </c>
      <c r="E3" s="2" t="s">
        <v>40</v>
      </c>
      <c r="F3" s="2" t="s">
        <v>40</v>
      </c>
    </row>
    <row r="4" ht="17" spans="1:6">
      <c r="A4" s="2" t="s">
        <v>46</v>
      </c>
      <c r="B4" s="2" t="s">
        <v>37</v>
      </c>
      <c r="C4" s="2" t="s">
        <v>84</v>
      </c>
      <c r="D4" s="2" t="s">
        <v>40</v>
      </c>
      <c r="E4" s="2" t="s">
        <v>40</v>
      </c>
      <c r="F4" s="2" t="s">
        <v>40</v>
      </c>
    </row>
    <row r="5" ht="17" spans="1:6">
      <c r="A5" s="2" t="s">
        <v>50</v>
      </c>
      <c r="B5" s="2" t="s">
        <v>43</v>
      </c>
      <c r="C5" s="2" t="s">
        <v>84</v>
      </c>
      <c r="D5" s="2" t="s">
        <v>40</v>
      </c>
      <c r="E5" s="2" t="s">
        <v>40</v>
      </c>
      <c r="F5" s="2" t="s">
        <v>40</v>
      </c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</sheetData>
  <dataValidations count="2">
    <dataValidation type="list" sqref="D2:D50">
      <formula1>"None,Occasional,Frequent"</formula1>
    </dataValidation>
    <dataValidation type="list" sqref="E2:E50">
      <formula1>"Yes,No"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Trial Data</vt:lpstr>
      <vt:lpstr>Question Guide</vt:lpstr>
      <vt:lpstr>Participant Setup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Martin.q-</cp:lastModifiedBy>
  <dcterms:created xsi:type="dcterms:W3CDTF">2026-09-30T12:59:00Z</dcterms:created>
  <dcterms:modified xsi:type="dcterms:W3CDTF">2026-10-01T13:00:09Z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4FC35F798384095E4DCABD6AEC3F29B9_43</vt:lpwstr>
  </property>
  <property fmtid="{D5CDD505-2E9C-101B-9397-08002B2CF9AE}" pid="3" name="KSOProductBuildVer">
    <vt:lpwstr>2052-7.2.2.8955</vt:lpwstr>
  </property>
</Properties>
</file>